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帳" sheetId="1" state="visible" r:id="rId1"/>
    <sheet name="拜拜配袋試算" sheetId="2" state="visible" r:id="rId2"/>
    <sheet name="目標反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FE6D3"/>
      </patternFill>
    </fill>
    <fill>
      <patternFill patternType="solid">
        <fgColor rgb="00FFF7DC"/>
      </patternFill>
    </fill>
  </fills>
  <borders count="2">
    <border>
      <left/>
      <right/>
      <top/>
      <bottom/>
      <diagonal/>
    </border>
    <border>
      <left style="thin">
        <color rgb="00CCBFA6"/>
      </left>
      <right style="thin">
        <color rgb="00CCBFA6"/>
      </right>
      <top style="thin">
        <color rgb="00CCBFA6"/>
      </top>
      <bottom style="thin">
        <color rgb="00CCBF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165" fontId="0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2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2" customWidth="1" min="8" max="8"/>
    <col width="12" customWidth="1" min="9" max="9"/>
    <col width="8" customWidth="1" min="10" max="10"/>
    <col width="22" customWidth="1" min="11" max="11"/>
  </cols>
  <sheetData>
    <row r="1">
      <c r="A1" s="1" t="inlineStr">
        <is>
          <t>英仔果子行｜每日帳（記兩週：10/20～11/2）</t>
        </is>
      </c>
    </row>
    <row r="2">
      <c r="A2" t="inlineStr">
        <is>
          <t>黃色格子每天填；灰底欄位自動計算。不知道的先空著。</t>
        </is>
      </c>
    </row>
    <row r="4">
      <c r="A4" s="2" t="inlineStr">
        <is>
          <t>日期</t>
        </is>
      </c>
      <c r="B4" s="2" t="inlineStr">
        <is>
          <t>星期</t>
        </is>
      </c>
      <c r="C4" s="2" t="inlineStr">
        <is>
          <t>當天營收（元）</t>
        </is>
      </c>
      <c r="D4" s="2" t="inlineStr">
        <is>
          <t>單數（筆）</t>
        </is>
      </c>
      <c r="E4" s="2" t="inlineStr">
        <is>
          <t>其中：聊天群下單（筆）</t>
        </is>
      </c>
      <c r="F4" s="2" t="inlineStr">
        <is>
          <t>其中：外送（筆）</t>
        </is>
      </c>
      <c r="G4" s="2" t="inlineStr">
        <is>
          <t>當天進貨成本（元）</t>
        </is>
      </c>
      <c r="H4" s="2" t="inlineStr">
        <is>
          <t>每單平均（元）</t>
        </is>
      </c>
      <c r="I4" s="2" t="inlineStr">
        <is>
          <t>毛利（元）</t>
        </is>
      </c>
      <c r="J4" s="2" t="inlineStr">
        <is>
          <t>毛利率</t>
        </is>
      </c>
      <c r="K4" s="2" t="inlineStr">
        <is>
          <t>備註（拜拜日、天氣等）</t>
        </is>
      </c>
    </row>
    <row r="5">
      <c r="A5" s="3" t="n">
        <v>46315</v>
      </c>
      <c r="B5" s="4" t="inlineStr">
        <is>
          <t>二</t>
        </is>
      </c>
      <c r="C5" s="5" t="n"/>
      <c r="D5" s="5" t="n"/>
      <c r="E5" s="5" t="n"/>
      <c r="F5" s="5" t="n"/>
      <c r="G5" s="5" t="n"/>
      <c r="H5" s="6">
        <f>IF(D5&gt;0,C5/D5,"")</f>
        <v/>
      </c>
      <c r="I5" s="6">
        <f>IF(AND(C5&lt;&gt;"",G5&lt;&gt;""),C5-G5,"")</f>
        <v/>
      </c>
      <c r="J5" s="7">
        <f>IF(AND(C5&gt;0,G5&lt;&gt;""),(C5-G5)/C5,"")</f>
        <v/>
      </c>
      <c r="K5" s="5" t="n"/>
    </row>
    <row r="6">
      <c r="A6" s="3" t="n">
        <v>46316</v>
      </c>
      <c r="B6" s="4" t="inlineStr">
        <is>
          <t>三</t>
        </is>
      </c>
      <c r="C6" s="5" t="n"/>
      <c r="D6" s="5" t="n"/>
      <c r="E6" s="5" t="n"/>
      <c r="F6" s="5" t="n"/>
      <c r="G6" s="5" t="n"/>
      <c r="H6" s="6">
        <f>IF(D6&gt;0,C6/D6,"")</f>
        <v/>
      </c>
      <c r="I6" s="6">
        <f>IF(AND(C6&lt;&gt;"",G6&lt;&gt;""),C6-G6,"")</f>
        <v/>
      </c>
      <c r="J6" s="7">
        <f>IF(AND(C6&gt;0,G6&lt;&gt;""),(C6-G6)/C6,"")</f>
        <v/>
      </c>
      <c r="K6" s="5" t="n"/>
    </row>
    <row r="7">
      <c r="A7" s="3" t="n">
        <v>46317</v>
      </c>
      <c r="B7" s="4" t="inlineStr">
        <is>
          <t>四</t>
        </is>
      </c>
      <c r="C7" s="5" t="n"/>
      <c r="D7" s="5" t="n"/>
      <c r="E7" s="5" t="n"/>
      <c r="F7" s="5" t="n"/>
      <c r="G7" s="5" t="n"/>
      <c r="H7" s="6">
        <f>IF(D7&gt;0,C7/D7,"")</f>
        <v/>
      </c>
      <c r="I7" s="6">
        <f>IF(AND(C7&lt;&gt;"",G7&lt;&gt;""),C7-G7,"")</f>
        <v/>
      </c>
      <c r="J7" s="7">
        <f>IF(AND(C7&gt;0,G7&lt;&gt;""),(C7-G7)/C7,"")</f>
        <v/>
      </c>
      <c r="K7" s="5" t="n"/>
    </row>
    <row r="8">
      <c r="A8" s="3" t="n">
        <v>46318</v>
      </c>
      <c r="B8" s="4" t="inlineStr">
        <is>
          <t>五</t>
        </is>
      </c>
      <c r="C8" s="5" t="n"/>
      <c r="D8" s="5" t="n"/>
      <c r="E8" s="5" t="n"/>
      <c r="F8" s="5" t="n"/>
      <c r="G8" s="5" t="n"/>
      <c r="H8" s="6">
        <f>IF(D8&gt;0,C8/D8,"")</f>
        <v/>
      </c>
      <c r="I8" s="6">
        <f>IF(AND(C8&lt;&gt;"",G8&lt;&gt;""),C8-G8,"")</f>
        <v/>
      </c>
      <c r="J8" s="7">
        <f>IF(AND(C8&gt;0,G8&lt;&gt;""),(C8-G8)/C8,"")</f>
        <v/>
      </c>
      <c r="K8" s="5" t="n"/>
    </row>
    <row r="9">
      <c r="A9" s="3" t="n">
        <v>46319</v>
      </c>
      <c r="B9" s="4" t="inlineStr">
        <is>
          <t>六</t>
        </is>
      </c>
      <c r="C9" s="5" t="n"/>
      <c r="D9" s="5" t="n"/>
      <c r="E9" s="5" t="n"/>
      <c r="F9" s="5" t="n"/>
      <c r="G9" s="5" t="n"/>
      <c r="H9" s="6">
        <f>IF(D9&gt;0,C9/D9,"")</f>
        <v/>
      </c>
      <c r="I9" s="6">
        <f>IF(AND(C9&lt;&gt;"",G9&lt;&gt;""),C9-G9,"")</f>
        <v/>
      </c>
      <c r="J9" s="7">
        <f>IF(AND(C9&gt;0,G9&lt;&gt;""),(C9-G9)/C9,"")</f>
        <v/>
      </c>
      <c r="K9" s="5" t="inlineStr">
        <is>
          <t>九月十五（拜拜日）</t>
        </is>
      </c>
    </row>
    <row r="10">
      <c r="A10" s="3" t="n">
        <v>46320</v>
      </c>
      <c r="B10" s="4" t="inlineStr">
        <is>
          <t>日</t>
        </is>
      </c>
      <c r="C10" s="5" t="n"/>
      <c r="D10" s="5" t="n"/>
      <c r="E10" s="5" t="n"/>
      <c r="F10" s="5" t="n"/>
      <c r="G10" s="5" t="n"/>
      <c r="H10" s="6">
        <f>IF(D10&gt;0,C10/D10,"")</f>
        <v/>
      </c>
      <c r="I10" s="6">
        <f>IF(AND(C10&lt;&gt;"",G10&lt;&gt;""),C10-G10,"")</f>
        <v/>
      </c>
      <c r="J10" s="7">
        <f>IF(AND(C10&gt;0,G10&lt;&gt;""),(C10-G10)/C10,"")</f>
        <v/>
      </c>
      <c r="K10" s="5" t="n"/>
    </row>
    <row r="11">
      <c r="A11" s="3" t="n">
        <v>46321</v>
      </c>
      <c r="B11" s="4" t="inlineStr">
        <is>
          <t>一</t>
        </is>
      </c>
      <c r="C11" s="5" t="n"/>
      <c r="D11" s="5" t="n"/>
      <c r="E11" s="5" t="n"/>
      <c r="F11" s="5" t="n"/>
      <c r="G11" s="5" t="n"/>
      <c r="H11" s="6">
        <f>IF(D11&gt;0,C11/D11,"")</f>
        <v/>
      </c>
      <c r="I11" s="6">
        <f>IF(AND(C11&lt;&gt;"",G11&lt;&gt;""),C11-G11,"")</f>
        <v/>
      </c>
      <c r="J11" s="7">
        <f>IF(AND(C11&gt;0,G11&lt;&gt;""),(C11-G11)/C11,"")</f>
        <v/>
      </c>
      <c r="K11" s="5" t="n"/>
    </row>
    <row r="12">
      <c r="A12" s="3" t="n">
        <v>46322</v>
      </c>
      <c r="B12" s="4" t="inlineStr">
        <is>
          <t>二</t>
        </is>
      </c>
      <c r="C12" s="5" t="n"/>
      <c r="D12" s="5" t="n"/>
      <c r="E12" s="5" t="n"/>
      <c r="F12" s="5" t="n"/>
      <c r="G12" s="5" t="n"/>
      <c r="H12" s="6">
        <f>IF(D12&gt;0,C12/D12,"")</f>
        <v/>
      </c>
      <c r="I12" s="6">
        <f>IF(AND(C12&lt;&gt;"",G12&lt;&gt;""),C12-G12,"")</f>
        <v/>
      </c>
      <c r="J12" s="7">
        <f>IF(AND(C12&gt;0,G12&lt;&gt;""),(C12-G12)/C12,"")</f>
        <v/>
      </c>
      <c r="K12" s="5" t="n"/>
    </row>
    <row r="13">
      <c r="A13" s="3" t="n">
        <v>46323</v>
      </c>
      <c r="B13" s="4" t="inlineStr">
        <is>
          <t>三</t>
        </is>
      </c>
      <c r="C13" s="5" t="n"/>
      <c r="D13" s="5" t="n"/>
      <c r="E13" s="5" t="n"/>
      <c r="F13" s="5" t="n"/>
      <c r="G13" s="5" t="n"/>
      <c r="H13" s="6">
        <f>IF(D13&gt;0,C13/D13,"")</f>
        <v/>
      </c>
      <c r="I13" s="6">
        <f>IF(AND(C13&lt;&gt;"",G13&lt;&gt;""),C13-G13,"")</f>
        <v/>
      </c>
      <c r="J13" s="7">
        <f>IF(AND(C13&gt;0,G13&lt;&gt;""),(C13-G13)/C13,"")</f>
        <v/>
      </c>
      <c r="K13" s="5" t="n"/>
    </row>
    <row r="14">
      <c r="A14" s="3" t="n">
        <v>46324</v>
      </c>
      <c r="B14" s="4" t="inlineStr">
        <is>
          <t>四</t>
        </is>
      </c>
      <c r="C14" s="5" t="n"/>
      <c r="D14" s="5" t="n"/>
      <c r="E14" s="5" t="n"/>
      <c r="F14" s="5" t="n"/>
      <c r="G14" s="5" t="n"/>
      <c r="H14" s="6">
        <f>IF(D14&gt;0,C14/D14,"")</f>
        <v/>
      </c>
      <c r="I14" s="6">
        <f>IF(AND(C14&lt;&gt;"",G14&lt;&gt;""),C14-G14,"")</f>
        <v/>
      </c>
      <c r="J14" s="7">
        <f>IF(AND(C14&gt;0,G14&lt;&gt;""),(C14-G14)/C14,"")</f>
        <v/>
      </c>
      <c r="K14" s="5" t="n"/>
    </row>
    <row r="15">
      <c r="A15" s="3" t="n">
        <v>46325</v>
      </c>
      <c r="B15" s="4" t="inlineStr">
        <is>
          <t>五</t>
        </is>
      </c>
      <c r="C15" s="5" t="n"/>
      <c r="D15" s="5" t="n"/>
      <c r="E15" s="5" t="n"/>
      <c r="F15" s="5" t="n"/>
      <c r="G15" s="5" t="n"/>
      <c r="H15" s="6">
        <f>IF(D15&gt;0,C15/D15,"")</f>
        <v/>
      </c>
      <c r="I15" s="6">
        <f>IF(AND(C15&lt;&gt;"",G15&lt;&gt;""),C15-G15,"")</f>
        <v/>
      </c>
      <c r="J15" s="7">
        <f>IF(AND(C15&gt;0,G15&lt;&gt;""),(C15-G15)/C15,"")</f>
        <v/>
      </c>
      <c r="K15" s="5" t="n"/>
    </row>
    <row r="16">
      <c r="A16" s="3" t="n">
        <v>46326</v>
      </c>
      <c r="B16" s="4" t="inlineStr">
        <is>
          <t>六</t>
        </is>
      </c>
      <c r="C16" s="5" t="n"/>
      <c r="D16" s="5" t="n"/>
      <c r="E16" s="5" t="n"/>
      <c r="F16" s="5" t="n"/>
      <c r="G16" s="5" t="n"/>
      <c r="H16" s="6">
        <f>IF(D16&gt;0,C16/D16,"")</f>
        <v/>
      </c>
      <c r="I16" s="6">
        <f>IF(AND(C16&lt;&gt;"",G16&lt;&gt;""),C16-G16,"")</f>
        <v/>
      </c>
      <c r="J16" s="7">
        <f>IF(AND(C16&gt;0,G16&lt;&gt;""),(C16-G16)/C16,"")</f>
        <v/>
      </c>
      <c r="K16" s="5" t="n"/>
    </row>
    <row r="17">
      <c r="A17" s="3" t="n">
        <v>46327</v>
      </c>
      <c r="B17" s="4" t="inlineStr">
        <is>
          <t>日</t>
        </is>
      </c>
      <c r="C17" s="5" t="n"/>
      <c r="D17" s="5" t="n"/>
      <c r="E17" s="5" t="n"/>
      <c r="F17" s="5" t="n"/>
      <c r="G17" s="5" t="n"/>
      <c r="H17" s="6">
        <f>IF(D17&gt;0,C17/D17,"")</f>
        <v/>
      </c>
      <c r="I17" s="6">
        <f>IF(AND(C17&lt;&gt;"",G17&lt;&gt;""),C17-G17,"")</f>
        <v/>
      </c>
      <c r="J17" s="7">
        <f>IF(AND(C17&gt;0,G17&lt;&gt;""),(C17-G17)/C17,"")</f>
        <v/>
      </c>
      <c r="K17" s="5" t="n"/>
    </row>
    <row r="18">
      <c r="A18" s="3" t="n">
        <v>46328</v>
      </c>
      <c r="B18" s="4" t="inlineStr">
        <is>
          <t>一</t>
        </is>
      </c>
      <c r="C18" s="5" t="n"/>
      <c r="D18" s="5" t="n"/>
      <c r="E18" s="5" t="n"/>
      <c r="F18" s="5" t="n"/>
      <c r="G18" s="5" t="n"/>
      <c r="H18" s="6">
        <f>IF(D18&gt;0,C18/D18,"")</f>
        <v/>
      </c>
      <c r="I18" s="6">
        <f>IF(AND(C18&lt;&gt;"",G18&lt;&gt;""),C18-G18,"")</f>
        <v/>
      </c>
      <c r="J18" s="7">
        <f>IF(AND(C18&gt;0,G18&lt;&gt;""),(C18-G18)/C18,"")</f>
        <v/>
      </c>
      <c r="K18" s="5" t="n"/>
    </row>
    <row r="19">
      <c r="A19" s="8" t="inlineStr">
        <is>
          <t>兩週合計</t>
        </is>
      </c>
      <c r="C19" s="9">
        <f>SUM(C5:C18)</f>
        <v/>
      </c>
      <c r="D19" s="9">
        <f>SUM(D5:D18)</f>
        <v/>
      </c>
      <c r="E19" s="9">
        <f>SUM(E5:E18)</f>
        <v/>
      </c>
      <c r="F19" s="9">
        <f>SUM(F5:F18)</f>
        <v/>
      </c>
      <c r="G19" s="9">
        <f>SUM(G5:G18)</f>
        <v/>
      </c>
      <c r="H19" s="9">
        <f>IF(D19&gt;0,C19/D19,"")</f>
        <v/>
      </c>
      <c r="I19" s="9">
        <f>IF(G19&gt;0,C19-G19,"")</f>
        <v/>
      </c>
      <c r="J19" s="10">
        <f>IF(AND(C19&gt;0,G19&gt;0),(C19-G19)/C19,"")</f>
        <v/>
      </c>
    </row>
    <row r="20">
      <c r="A20" s="8" t="inlineStr">
        <is>
          <t>推估月營收（兩週×30/14）</t>
        </is>
      </c>
      <c r="C20" s="9">
        <f>C19*30/14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8" customWidth="1" min="3" max="3"/>
    <col width="12" customWidth="1" min="4" max="4"/>
  </cols>
  <sheetData>
    <row r="1">
      <c r="A1" s="1" t="inlineStr">
        <is>
          <t>拜拜配袋（5 樣）成本試算</t>
        </is>
      </c>
    </row>
    <row r="2">
      <c r="A2" t="inlineStr">
        <is>
          <t>填當天 5 樣水果的進貨成本，看 500 元一袋的毛利。黃色格子可改。</t>
        </is>
      </c>
    </row>
    <row r="4">
      <c r="A4" s="2" t="inlineStr">
        <is>
          <t>品項</t>
        </is>
      </c>
      <c r="B4" s="2" t="inlineStr">
        <is>
          <t>顆數</t>
        </is>
      </c>
      <c r="C4" s="2" t="inlineStr">
        <is>
          <t>每顆進貨成本（元）</t>
        </is>
      </c>
      <c r="D4" s="2" t="inlineStr">
        <is>
          <t>小計（元）</t>
        </is>
      </c>
    </row>
    <row r="5">
      <c r="A5" s="5" t="inlineStr">
        <is>
          <t>品項1</t>
        </is>
      </c>
      <c r="B5" s="5" t="n"/>
      <c r="C5" s="5" t="n"/>
      <c r="D5" s="6">
        <f>IF(AND(B5&lt;&gt;"",C5&lt;&gt;""),B5*C5,0)</f>
        <v/>
      </c>
    </row>
    <row r="6">
      <c r="A6" s="5" t="inlineStr">
        <is>
          <t>品項2</t>
        </is>
      </c>
      <c r="B6" s="5" t="n"/>
      <c r="C6" s="5" t="n"/>
      <c r="D6" s="6">
        <f>IF(AND(B6&lt;&gt;"",C6&lt;&gt;""),B6*C6,0)</f>
        <v/>
      </c>
    </row>
    <row r="7">
      <c r="A7" s="5" t="inlineStr">
        <is>
          <t>品項3</t>
        </is>
      </c>
      <c r="B7" s="5" t="n"/>
      <c r="C7" s="5" t="n"/>
      <c r="D7" s="6">
        <f>IF(AND(B7&lt;&gt;"",C7&lt;&gt;""),B7*C7,0)</f>
        <v/>
      </c>
    </row>
    <row r="8">
      <c r="A8" s="5" t="inlineStr">
        <is>
          <t>品項4</t>
        </is>
      </c>
      <c r="B8" s="5" t="n"/>
      <c r="C8" s="5" t="n"/>
      <c r="D8" s="6">
        <f>IF(AND(B8&lt;&gt;"",C8&lt;&gt;""),B8*C8,0)</f>
        <v/>
      </c>
    </row>
    <row r="9">
      <c r="A9" s="5" t="inlineStr">
        <is>
          <t>品項5</t>
        </is>
      </c>
      <c r="B9" s="5" t="n"/>
      <c r="C9" s="5" t="n"/>
      <c r="D9" s="6">
        <f>IF(AND(B9&lt;&gt;"",C9&lt;&gt;""),B9*C9,0)</f>
        <v/>
      </c>
    </row>
    <row r="10">
      <c r="A10" t="inlineStr">
        <is>
          <t>袋子等包材（元）</t>
        </is>
      </c>
      <c r="D10" s="11" t="n">
        <v>0</v>
      </c>
    </row>
    <row r="11">
      <c r="A11" s="8" t="inlineStr">
        <is>
          <t>一袋總成本</t>
        </is>
      </c>
      <c r="D11">
        <f>SUM(D5:D10)</f>
        <v/>
      </c>
    </row>
    <row r="13">
      <c r="A13" t="inlineStr">
        <is>
          <t>售價（元）</t>
        </is>
      </c>
      <c r="D13" s="11" t="n">
        <v>500</v>
      </c>
    </row>
    <row r="14">
      <c r="A14" s="8" t="inlineStr">
        <is>
          <t>一袋毛利</t>
        </is>
      </c>
      <c r="D14">
        <f>D13-D11</f>
        <v/>
      </c>
    </row>
    <row r="15">
      <c r="A15" t="inlineStr">
        <is>
          <t>毛利率</t>
        </is>
      </c>
      <c r="D15" s="10">
        <f>IF(D13&gt;0,D14/D13,"")</f>
        <v/>
      </c>
    </row>
    <row r="16">
      <c r="A16" t="inlineStr">
        <is>
          <t>宮廟禮籃 600 元時的毛利（同樣 5 樣）</t>
        </is>
      </c>
      <c r="D16">
        <f>600-D11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月實拿目標反推</t>
        </is>
      </c>
    </row>
    <row r="2">
      <c r="A2" t="inlineStr">
        <is>
          <t>黃色格子是假設，記完兩週帳後換成真實數字。</t>
        </is>
      </c>
    </row>
    <row r="4">
      <c r="A4" t="inlineStr">
        <is>
          <t>月實拿目標（元）</t>
        </is>
      </c>
      <c r="B4" s="12" t="n">
        <v>60000</v>
      </c>
    </row>
    <row r="5">
      <c r="A5" t="inlineStr">
        <is>
          <t>每月固定成本（元，假設）</t>
        </is>
      </c>
      <c r="B5" s="12" t="n">
        <v>10000</v>
      </c>
    </row>
    <row r="6">
      <c r="A6" t="inlineStr">
        <is>
          <t>毛利率（假設）</t>
        </is>
      </c>
      <c r="B6" s="13" t="n">
        <v>0.3</v>
      </c>
    </row>
    <row r="7">
      <c r="A7" t="inlineStr">
        <is>
          <t>每單平均（元，假設）</t>
        </is>
      </c>
      <c r="B7" s="12" t="n">
        <v>400</v>
      </c>
    </row>
    <row r="8">
      <c r="A8" s="8" t="inlineStr">
        <is>
          <t>需要的月毛利</t>
        </is>
      </c>
      <c r="B8" s="9">
        <f>B4+B5</f>
        <v/>
      </c>
    </row>
    <row r="9">
      <c r="A9" s="8" t="inlineStr">
        <is>
          <t>需要的月營收</t>
        </is>
      </c>
      <c r="B9" s="9">
        <f>B8/B6</f>
        <v/>
      </c>
    </row>
    <row r="10">
      <c r="A10" s="8" t="inlineStr">
        <is>
          <t>需要的月單數</t>
        </is>
      </c>
      <c r="B10" s="9">
        <f>B9/B7</f>
        <v/>
      </c>
    </row>
    <row r="11">
      <c r="A11" s="8" t="inlineStr">
        <is>
          <t>平均每天單數（30天）</t>
        </is>
      </c>
      <c r="B11" s="9">
        <f>B10/30</f>
        <v/>
      </c>
    </row>
    <row r="12">
      <c r="A12" t="inlineStr">
        <is>
          <t>聊天群佔營收比例（假設）</t>
        </is>
      </c>
      <c r="B12" s="13" t="n">
        <v>0.25</v>
      </c>
    </row>
    <row r="13">
      <c r="A13" s="8" t="inlineStr">
        <is>
          <t>聊天群每月要做到的營收</t>
        </is>
      </c>
      <c r="B13" s="9">
        <f>B9*B12</f>
        <v/>
      </c>
    </row>
    <row r="14">
      <c r="A14" s="8" t="inlineStr">
        <is>
          <t>聊天群每月單數</t>
        </is>
      </c>
      <c r="B14" s="9">
        <f>B13/B7</f>
        <v/>
      </c>
    </row>
    <row r="15">
      <c r="A15" s="8" t="inlineStr">
        <is>
          <t>聊天群每週單數</t>
        </is>
      </c>
      <c r="B15" s="9">
        <f>B14/30*7</f>
        <v/>
      </c>
    </row>
    <row r="17">
      <c r="A17" t="inlineStr">
        <is>
          <t>對照：兩週帳推估月營收</t>
        </is>
      </c>
      <c r="B17" s="9">
        <f>'每日帳'!C20</f>
        <v/>
      </c>
    </row>
    <row r="18">
      <c r="A18" t="inlineStr">
        <is>
          <t>差距（需要 − 現在）</t>
        </is>
      </c>
      <c r="B18" s="9">
        <f>IF(B17&gt;0,B9-B17,"")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2026-10-20T23:52:22Z</dcterms:created>
  <dcterms:modified xsi:type="dcterms:W3CDTF">2026-10-20T23:52:23Z</dcterms:modified>
</cp:coreProperties>
</file>